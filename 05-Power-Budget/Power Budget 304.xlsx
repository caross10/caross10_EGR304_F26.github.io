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LL 2027\EGR 304\"/>
    </mc:Choice>
  </mc:AlternateContent>
  <xr:revisionPtr revIDLastSave="0" documentId="8_{FD8FEA5D-C472-46E8-8351-6DF3661B0926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18" i="1"/>
  <c r="G7" i="1"/>
  <c r="G34" i="1"/>
  <c r="G35" i="1" s="1"/>
  <c r="G23" i="1"/>
  <c r="G17" i="1"/>
  <c r="G16" i="1"/>
  <c r="G15" i="1"/>
  <c r="G14" i="1"/>
  <c r="G10" i="1"/>
  <c r="G9" i="1"/>
  <c r="G8" i="1"/>
  <c r="G19" i="1" l="1"/>
  <c r="G21" i="1" s="1"/>
  <c r="G24" i="1" s="1"/>
  <c r="G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6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<sst xmlns="http://schemas.openxmlformats.org/spreadsheetml/2006/main" count="108" uniqueCount="59">
  <si>
    <t>Team Number:</t>
  </si>
  <si>
    <t>Project Name:</t>
  </si>
  <si>
    <t>Team Member Names: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</si>
  <si>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</si>
  <si>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</si>
  <si>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</si>
  <si>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</si>
  <si>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</si>
  <si>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</si>
  <si>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</si>
  <si>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</si>
  <si>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mA</t>
  </si>
  <si>
    <t>Opamp</t>
  </si>
  <si>
    <t>5V regulator</t>
  </si>
  <si>
    <t xml:space="preserve">Subtotal </t>
  </si>
  <si>
    <t>Safety Margin</t>
  </si>
  <si>
    <t xml:space="preserve"> +5V Power Rail</t>
  </si>
  <si>
    <t>Total Current Required on +5V Rail</t>
  </si>
  <si>
    <t>c2. Regulator or Source Choice</t>
  </si>
  <si>
    <t xml:space="preserve"> +5V Regulator</t>
  </si>
  <si>
    <t>Total Remaining Current Available on +5V Rail</t>
  </si>
  <si>
    <t>External Power Source 1</t>
  </si>
  <si>
    <t>Output Voltage</t>
  </si>
  <si>
    <t>Power Source 1 Selection</t>
  </si>
  <si>
    <t>Power Rails Connected to External Power Source 1</t>
  </si>
  <si>
    <t>Battery</t>
  </si>
  <si>
    <t xml:space="preserve"> +9V</t>
  </si>
  <si>
    <t>Total Remaining Current Available on External Power Source 2</t>
  </si>
  <si>
    <t>Capacity
(mAh)</t>
  </si>
  <si>
    <t>Required
By
Regulators</t>
  </si>
  <si>
    <t>Battery Life</t>
  </si>
  <si>
    <t>hours</t>
  </si>
  <si>
    <t>Automatic Pet Feeder</t>
  </si>
  <si>
    <t>Caleb Ross, Connor Erwin, Gary Hoffland, Daksh Raghav Preetha</t>
  </si>
  <si>
    <t xml:space="preserve">Power Budget </t>
  </si>
  <si>
    <t>Optical Sensor</t>
  </si>
  <si>
    <t>LED</t>
  </si>
  <si>
    <t xml:space="preserve">Pushbutton </t>
  </si>
  <si>
    <t>B3F-4055</t>
  </si>
  <si>
    <t>TCST1103</t>
  </si>
  <si>
    <t>151051RS11000</t>
  </si>
  <si>
    <t>MCP6004-I/P</t>
  </si>
  <si>
    <t>L7805CV</t>
  </si>
  <si>
    <t>Pushbutton</t>
  </si>
  <si>
    <t>1.8V to 6V</t>
  </si>
  <si>
    <t xml:space="preserve"> 7.5V to 35V</t>
  </si>
  <si>
    <t>DM164150</t>
  </si>
  <si>
    <t>PIC Microcontroller Board</t>
  </si>
  <si>
    <t>1.8V to 5.5V</t>
  </si>
  <si>
    <t xml:space="preserve"> 2V</t>
  </si>
  <si>
    <t>LM7805CV</t>
  </si>
  <si>
    <t>7.5V to 35V</t>
  </si>
  <si>
    <t xml:space="preserve"> 2.1V to 2.5V</t>
  </si>
  <si>
    <t>0V to 24V</t>
  </si>
  <si>
    <t>1.2V to 70V</t>
  </si>
  <si>
    <t>NIMH-9V250-1B</t>
  </si>
  <si>
    <t xml:space="preserve"> 7.0V to 9V</t>
  </si>
  <si>
    <t xml:space="preserve"> -8.4V</t>
  </si>
  <si>
    <t xml:space="preserve"> 5V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</si>
</sst>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sz val="12"/>
      <name val="Arial"/>
    </font>
    <font>
      <sz val="8"/>
      <name val="Calibri"/>
    </font>
    <font>
      <b/>
      <sz val="12"/>
      <color rgb="FF000000"/>
      <name val="Calibri"/>
      <family val="2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2"/>
      <name val="Calibri"/>
      <family val="2"/>
    </font>
    <font>
      <sz val="12"/>
      <color rgb="FF1F232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0" fillId="0" borderId="7" xfId="0" applyBorder="1"/>
    <xf numFmtId="0" fontId="5" fillId="0" borderId="0" xfId="0" applyFont="1"/>
    <xf numFmtId="0" fontId="6" fillId="0" borderId="6" xfId="0" applyFont="1" applyBorder="1"/>
    <xf numFmtId="0" fontId="4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7" xfId="0" applyBorder="1" applyAlignment="1">
      <alignment horizontal="right"/>
    </xf>
    <xf numFmtId="0" fontId="3" fillId="0" borderId="6" xfId="0" applyFont="1" applyBorder="1" applyAlignment="1">
      <alignment horizontal="center"/>
    </xf>
    <xf numFmtId="0" fontId="5" fillId="0" borderId="11" xfId="0" applyFont="1" applyBorder="1"/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0" xfId="0"/>
    <xf numFmtId="0" fontId="2" fillId="0" borderId="6" xfId="0" applyFont="1" applyBorder="1"/>
    <xf numFmtId="0" fontId="9" fillId="0" borderId="1" xfId="0" applyFont="1" applyBorder="1"/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2" fillId="2" borderId="8" xfId="0" applyFont="1" applyFill="1" applyBorder="1"/>
    <xf numFmtId="0" fontId="9" fillId="2" borderId="1" xfId="0" applyFont="1" applyFill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2" fillId="0" borderId="0" xfId="0" applyFont="1" applyAlignment="1">
      <alignment horizontal="right"/>
    </xf>
    <xf numFmtId="0" fontId="11" fillId="0" borderId="0" xfId="0" applyFont="1"/>
    <xf numFmtId="9" fontId="11" fillId="0" borderId="7" xfId="0" applyNumberFormat="1" applyFont="1" applyBorder="1"/>
    <xf numFmtId="0" fontId="12" fillId="0" borderId="6" xfId="0" applyFont="1" applyBorder="1"/>
    <xf numFmtId="0" fontId="12" fillId="0" borderId="6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7" xfId="0" applyFont="1" applyBorder="1" applyAlignment="1">
      <alignment horizontal="right"/>
    </xf>
    <xf numFmtId="0" fontId="12" fillId="0" borderId="9" xfId="0" applyFont="1" applyBorder="1" applyAlignment="1">
      <alignment horizontal="left"/>
    </xf>
    <xf numFmtId="49" fontId="12" fillId="0" borderId="10" xfId="0" applyNumberFormat="1" applyFont="1" applyBorder="1" applyAlignment="1">
      <alignment horizontal="right"/>
    </xf>
    <xf numFmtId="0" fontId="13" fillId="0" borderId="10" xfId="0" applyFont="1" applyBorder="1"/>
    <xf numFmtId="0" fontId="14" fillId="0" borderId="0" xfId="0" applyFont="1"/>
    <xf numFmtId="0" fontId="9" fillId="2" borderId="3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/>
    </xf>
    <xf numFmtId="49" fontId="12" fillId="0" borderId="0" xfId="0" applyNumberFormat="1" applyFont="1" applyAlignment="1">
      <alignment horizontal="right"/>
    </xf>
    <xf numFmtId="0" fontId="9" fillId="2" borderId="6" xfId="0" applyFont="1" applyFill="1" applyBorder="1"/>
    <xf numFmtId="0" fontId="9" fillId="2" borderId="12" xfId="0" applyFont="1" applyFill="1" applyBorder="1"/>
    <xf numFmtId="0" fontId="9" fillId="2" borderId="13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9" fillId="2" borderId="7" xfId="0" applyFont="1" applyFill="1" applyBorder="1"/>
    <xf numFmtId="0" fontId="12" fillId="0" borderId="0" xfId="0" applyFont="1" applyAlignment="1">
      <alignment horizontal="right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5"/>
  <sheetViews>
    <sheetView tabSelected="1" workbookViewId="0">
      <selection activeCell="J31" sqref="J31"/>
    </sheetView>
  </sheetViews>
  <sheetFormatPr defaultColWidth="13.5" defaultRowHeight="15.75" customHeight="1" x14ac:dyDescent="0.25"/>
  <cols>
    <col min="1" max="1" width="26.125" customWidth="1"/>
    <col min="2" max="2" width="23.125" customWidth="1"/>
    <col min="3" max="3" width="13.5" customWidth="1"/>
    <col min="4" max="4" width="11.5" customWidth="1"/>
    <col min="5" max="5" width="6.875" customWidth="1"/>
    <col min="6" max="6" width="12.375" customWidth="1"/>
    <col min="7" max="7" width="12.625" customWidth="1"/>
    <col min="8" max="8" width="9" customWidth="1"/>
  </cols>
  <sheetData>
    <row r="1" spans="1:8" ht="30" customHeight="1" x14ac:dyDescent="0.5">
      <c r="A1" s="22" t="s">
        <v>34</v>
      </c>
      <c r="B1" s="19"/>
      <c r="C1" s="19"/>
      <c r="D1" s="19"/>
      <c r="E1" s="19"/>
      <c r="F1" s="19"/>
      <c r="G1" s="19"/>
      <c r="H1" s="19"/>
    </row>
    <row r="2" spans="1:8" ht="15" customHeight="1" x14ac:dyDescent="0.25">
      <c r="A2" s="1" t="s">
        <v>0</v>
      </c>
      <c r="B2" s="2">
        <v>101</v>
      </c>
      <c r="D2" s="3"/>
      <c r="E2" s="3"/>
    </row>
    <row r="3" spans="1:8" ht="15" customHeight="1" x14ac:dyDescent="0.25">
      <c r="A3" s="4" t="s">
        <v>1</v>
      </c>
      <c r="B3" s="21" t="s">
        <v>32</v>
      </c>
      <c r="C3" s="5"/>
      <c r="D3" s="3"/>
      <c r="E3" s="3"/>
      <c r="F3" s="5"/>
      <c r="G3" s="5"/>
      <c r="H3" s="5"/>
    </row>
    <row r="4" spans="1:8" ht="15" customHeight="1" x14ac:dyDescent="0.25">
      <c r="A4" s="4" t="s">
        <v>2</v>
      </c>
      <c r="B4" s="1" t="s">
        <v>33</v>
      </c>
      <c r="C4" s="5"/>
      <c r="D4" s="3"/>
      <c r="E4" s="3"/>
      <c r="F4" s="5"/>
      <c r="G4" s="5"/>
      <c r="H4" s="5"/>
    </row>
    <row r="5" spans="1:8" ht="15" customHeight="1" x14ac:dyDescent="0.25">
      <c r="A5" s="6"/>
      <c r="B5" s="5"/>
      <c r="C5" s="5"/>
      <c r="D5" s="3"/>
      <c r="E5" s="3"/>
      <c r="F5" s="5"/>
      <c r="G5" s="5"/>
      <c r="H5" s="5"/>
    </row>
    <row r="6" spans="1:8" s="23" customFormat="1" ht="15" customHeight="1" x14ac:dyDescent="0.25">
      <c r="A6" s="26" t="s">
        <v>3</v>
      </c>
      <c r="B6" s="27" t="s">
        <v>4</v>
      </c>
      <c r="C6" s="27" t="s">
        <v>5</v>
      </c>
      <c r="D6" s="27" t="s">
        <v>6</v>
      </c>
      <c r="E6" s="27" t="s">
        <v>7</v>
      </c>
      <c r="F6" s="28" t="s">
        <v>8</v>
      </c>
      <c r="G6" s="29" t="s">
        <v>9</v>
      </c>
      <c r="H6" s="29" t="s">
        <v>10</v>
      </c>
    </row>
    <row r="7" spans="1:8" s="23" customFormat="1" ht="15" customHeight="1" x14ac:dyDescent="0.25">
      <c r="A7" s="32"/>
      <c r="B7" s="23" t="s">
        <v>35</v>
      </c>
      <c r="C7" s="23" t="s">
        <v>39</v>
      </c>
      <c r="D7" s="24" t="s">
        <v>54</v>
      </c>
      <c r="E7" s="24">
        <v>1</v>
      </c>
      <c r="F7" s="23">
        <v>100</v>
      </c>
      <c r="G7" s="33">
        <f>E7*F7</f>
        <v>100</v>
      </c>
      <c r="H7" s="33" t="s">
        <v>11</v>
      </c>
    </row>
    <row r="8" spans="1:8" s="23" customFormat="1" ht="15" customHeight="1" x14ac:dyDescent="0.25">
      <c r="A8" s="32"/>
      <c r="B8" s="23" t="s">
        <v>36</v>
      </c>
      <c r="C8" s="23" t="s">
        <v>40</v>
      </c>
      <c r="D8" s="24" t="s">
        <v>52</v>
      </c>
      <c r="E8" s="24">
        <v>2</v>
      </c>
      <c r="F8" s="23">
        <v>100</v>
      </c>
      <c r="G8" s="33">
        <f t="shared" ref="G8:G10" si="0">E8*F8</f>
        <v>200</v>
      </c>
      <c r="H8" s="33" t="s">
        <v>11</v>
      </c>
    </row>
    <row r="9" spans="1:8" s="23" customFormat="1" ht="15" customHeight="1" x14ac:dyDescent="0.25">
      <c r="A9" s="32"/>
      <c r="B9" s="23" t="s">
        <v>37</v>
      </c>
      <c r="C9" s="23" t="s">
        <v>38</v>
      </c>
      <c r="D9" s="24" t="s">
        <v>53</v>
      </c>
      <c r="E9" s="24">
        <v>1</v>
      </c>
      <c r="F9" s="23">
        <v>50</v>
      </c>
      <c r="G9" s="33">
        <f t="shared" si="0"/>
        <v>50</v>
      </c>
      <c r="H9" s="33" t="s">
        <v>11</v>
      </c>
    </row>
    <row r="10" spans="1:8" s="23" customFormat="1" ht="15" customHeight="1" x14ac:dyDescent="0.25">
      <c r="A10" s="32"/>
      <c r="B10" s="23" t="s">
        <v>12</v>
      </c>
      <c r="C10" s="23" t="s">
        <v>41</v>
      </c>
      <c r="D10" s="25" t="s">
        <v>44</v>
      </c>
      <c r="E10" s="24">
        <v>1</v>
      </c>
      <c r="F10" s="23">
        <v>92</v>
      </c>
      <c r="G10" s="33">
        <f t="shared" si="0"/>
        <v>92</v>
      </c>
      <c r="H10" s="33" t="s">
        <v>11</v>
      </c>
    </row>
    <row r="11" spans="1:8" s="23" customFormat="1" ht="15" customHeight="1" x14ac:dyDescent="0.25">
      <c r="A11" s="32"/>
      <c r="B11" s="23" t="s">
        <v>47</v>
      </c>
      <c r="C11" s="45" t="s">
        <v>46</v>
      </c>
      <c r="D11" s="25" t="s">
        <v>48</v>
      </c>
      <c r="E11" s="24">
        <v>1</v>
      </c>
      <c r="F11" s="23">
        <v>500</v>
      </c>
      <c r="G11" s="33">
        <v>500</v>
      </c>
      <c r="H11" s="33" t="s">
        <v>11</v>
      </c>
    </row>
    <row r="12" spans="1:8" s="23" customFormat="1" ht="15" customHeight="1" x14ac:dyDescent="0.25">
      <c r="A12" s="32"/>
      <c r="B12" s="23" t="s">
        <v>13</v>
      </c>
      <c r="C12" s="23" t="s">
        <v>42</v>
      </c>
      <c r="D12" s="24" t="s">
        <v>45</v>
      </c>
      <c r="E12" s="24">
        <v>1</v>
      </c>
      <c r="F12" s="23">
        <v>1500</v>
      </c>
      <c r="G12" s="33">
        <v>1500</v>
      </c>
      <c r="H12" s="33" t="s">
        <v>11</v>
      </c>
    </row>
    <row r="13" spans="1:8" s="23" customFormat="1" ht="15" customHeight="1" x14ac:dyDescent="0.25">
      <c r="A13" s="30" t="s">
        <v>16</v>
      </c>
      <c r="B13" s="27" t="s">
        <v>4</v>
      </c>
      <c r="C13" s="27" t="s">
        <v>5</v>
      </c>
      <c r="D13" s="27" t="s">
        <v>6</v>
      </c>
      <c r="E13" s="27" t="s">
        <v>7</v>
      </c>
      <c r="F13" s="28" t="s">
        <v>8</v>
      </c>
      <c r="G13" s="31" t="s">
        <v>9</v>
      </c>
      <c r="H13" s="31" t="s">
        <v>10</v>
      </c>
    </row>
    <row r="14" spans="1:8" s="23" customFormat="1" ht="15" customHeight="1" x14ac:dyDescent="0.25">
      <c r="A14" s="32"/>
      <c r="B14" s="23" t="s">
        <v>12</v>
      </c>
      <c r="C14" s="23" t="s">
        <v>41</v>
      </c>
      <c r="D14" s="24" t="s">
        <v>44</v>
      </c>
      <c r="E14" s="24">
        <v>1</v>
      </c>
      <c r="F14" s="23">
        <v>92</v>
      </c>
      <c r="G14" s="33">
        <f t="shared" ref="G14:G17" si="1">E14*F14</f>
        <v>92</v>
      </c>
      <c r="H14" s="33" t="s">
        <v>11</v>
      </c>
    </row>
    <row r="15" spans="1:8" s="23" customFormat="1" ht="15" customHeight="1" x14ac:dyDescent="0.25">
      <c r="A15" s="32"/>
      <c r="B15" s="23" t="s">
        <v>35</v>
      </c>
      <c r="C15" s="23" t="s">
        <v>39</v>
      </c>
      <c r="D15" s="24" t="s">
        <v>54</v>
      </c>
      <c r="E15" s="24">
        <v>1</v>
      </c>
      <c r="F15" s="23">
        <v>100</v>
      </c>
      <c r="G15" s="33">
        <f t="shared" si="1"/>
        <v>100</v>
      </c>
      <c r="H15" s="33" t="s">
        <v>11</v>
      </c>
    </row>
    <row r="16" spans="1:8" s="23" customFormat="1" ht="15" customHeight="1" x14ac:dyDescent="0.25">
      <c r="A16" s="32"/>
      <c r="B16" s="23" t="s">
        <v>36</v>
      </c>
      <c r="C16" s="23" t="s">
        <v>40</v>
      </c>
      <c r="D16" s="24" t="s">
        <v>49</v>
      </c>
      <c r="E16" s="24">
        <v>2</v>
      </c>
      <c r="F16" s="23">
        <v>100</v>
      </c>
      <c r="G16" s="33">
        <f t="shared" si="1"/>
        <v>200</v>
      </c>
      <c r="H16" s="33" t="s">
        <v>11</v>
      </c>
    </row>
    <row r="17" spans="1:8" s="23" customFormat="1" ht="15" customHeight="1" x14ac:dyDescent="0.25">
      <c r="A17" s="32"/>
      <c r="B17" s="23" t="s">
        <v>43</v>
      </c>
      <c r="C17" s="23" t="s">
        <v>38</v>
      </c>
      <c r="D17" s="24" t="s">
        <v>53</v>
      </c>
      <c r="E17" s="24">
        <v>1</v>
      </c>
      <c r="F17" s="23">
        <v>50</v>
      </c>
      <c r="G17" s="33">
        <f t="shared" si="1"/>
        <v>50</v>
      </c>
      <c r="H17" s="33" t="s">
        <v>11</v>
      </c>
    </row>
    <row r="18" spans="1:8" s="23" customFormat="1" ht="15" customHeight="1" x14ac:dyDescent="0.25">
      <c r="A18" s="32"/>
      <c r="B18" s="23" t="s">
        <v>47</v>
      </c>
      <c r="C18" s="23" t="s">
        <v>46</v>
      </c>
      <c r="D18" s="24" t="s">
        <v>48</v>
      </c>
      <c r="E18" s="24">
        <v>1</v>
      </c>
      <c r="F18" s="23">
        <v>500</v>
      </c>
      <c r="G18" s="33">
        <f>E18*F18</f>
        <v>500</v>
      </c>
      <c r="H18" s="33" t="s">
        <v>11</v>
      </c>
    </row>
    <row r="19" spans="1:8" s="23" customFormat="1" ht="15" customHeight="1" x14ac:dyDescent="0.25">
      <c r="A19" s="32"/>
      <c r="B19" s="34" t="s">
        <v>14</v>
      </c>
      <c r="C19" s="35"/>
      <c r="D19" s="35"/>
      <c r="E19" s="35"/>
      <c r="F19" s="35"/>
      <c r="G19" s="33">
        <f>SUM(G14:G18)</f>
        <v>942</v>
      </c>
      <c r="H19" s="33" t="s">
        <v>11</v>
      </c>
    </row>
    <row r="20" spans="1:8" s="23" customFormat="1" ht="15" customHeight="1" x14ac:dyDescent="0.25">
      <c r="A20" s="32"/>
      <c r="B20" s="34" t="s">
        <v>15</v>
      </c>
      <c r="C20" s="35"/>
      <c r="D20" s="35"/>
      <c r="E20" s="35"/>
      <c r="F20" s="35"/>
      <c r="G20" s="36">
        <v>0.25</v>
      </c>
      <c r="H20" s="36"/>
    </row>
    <row r="21" spans="1:8" s="23" customFormat="1" ht="15" customHeight="1" x14ac:dyDescent="0.25">
      <c r="A21" s="37"/>
      <c r="B21" s="34" t="s">
        <v>17</v>
      </c>
      <c r="C21" s="35"/>
      <c r="D21" s="35"/>
      <c r="E21" s="35"/>
      <c r="F21" s="35"/>
      <c r="G21" s="33">
        <f>G19*(1+G20)</f>
        <v>1177.5</v>
      </c>
      <c r="H21" s="33" t="s">
        <v>11</v>
      </c>
    </row>
    <row r="22" spans="1:8" ht="15" customHeight="1" x14ac:dyDescent="0.25">
      <c r="A22" s="11"/>
      <c r="B22" s="12"/>
      <c r="C22" s="12"/>
      <c r="D22" s="7"/>
      <c r="E22" s="7"/>
      <c r="F22" s="13"/>
      <c r="G22" s="14"/>
      <c r="H22" s="8"/>
    </row>
    <row r="23" spans="1:8" s="23" customFormat="1" ht="15" customHeight="1" x14ac:dyDescent="0.25">
      <c r="A23" s="38" t="s">
        <v>18</v>
      </c>
      <c r="B23" s="39" t="s">
        <v>19</v>
      </c>
      <c r="C23" s="39" t="s">
        <v>50</v>
      </c>
      <c r="D23" s="24" t="s">
        <v>51</v>
      </c>
      <c r="E23" s="24">
        <v>1</v>
      </c>
      <c r="F23" s="40">
        <v>1500</v>
      </c>
      <c r="G23" s="41">
        <f>E23*F23</f>
        <v>1500</v>
      </c>
      <c r="H23" s="33" t="s">
        <v>11</v>
      </c>
    </row>
    <row r="24" spans="1:8" s="23" customFormat="1" ht="15" customHeight="1" x14ac:dyDescent="0.25">
      <c r="A24" s="42"/>
      <c r="B24" s="43" t="s">
        <v>20</v>
      </c>
      <c r="C24" s="44"/>
      <c r="D24" s="44"/>
      <c r="E24" s="44"/>
      <c r="F24" s="44"/>
      <c r="G24" s="41">
        <f>G23-G21</f>
        <v>322.5</v>
      </c>
      <c r="H24" s="33" t="s">
        <v>11</v>
      </c>
    </row>
    <row r="25" spans="1:8" s="23" customFormat="1" ht="15" customHeight="1" x14ac:dyDescent="0.25">
      <c r="A25" s="30" t="s">
        <v>21</v>
      </c>
      <c r="B25" s="27" t="s">
        <v>4</v>
      </c>
      <c r="C25" s="27" t="s">
        <v>5</v>
      </c>
      <c r="D25" s="27" t="s">
        <v>6</v>
      </c>
      <c r="E25" s="46" t="s">
        <v>22</v>
      </c>
      <c r="F25" s="28" t="s">
        <v>8</v>
      </c>
      <c r="G25" s="31" t="s">
        <v>9</v>
      </c>
      <c r="H25" s="31" t="s">
        <v>10</v>
      </c>
    </row>
    <row r="26" spans="1:8" s="23" customFormat="1" ht="15" customHeight="1" x14ac:dyDescent="0.25">
      <c r="A26" s="47" t="s">
        <v>23</v>
      </c>
      <c r="B26" s="39" t="s">
        <v>25</v>
      </c>
      <c r="C26" s="24" t="s">
        <v>55</v>
      </c>
      <c r="D26" s="24" t="s">
        <v>56</v>
      </c>
      <c r="E26" s="24" t="s">
        <v>57</v>
      </c>
      <c r="F26" s="40">
        <v>250</v>
      </c>
      <c r="G26" s="41">
        <v>500</v>
      </c>
      <c r="H26" s="48" t="s">
        <v>11</v>
      </c>
    </row>
    <row r="27" spans="1:8" ht="15" customHeight="1" x14ac:dyDescent="0.25">
      <c r="A27" s="15"/>
      <c r="B27" s="12"/>
      <c r="C27" s="12"/>
      <c r="D27" s="7"/>
      <c r="E27" s="7"/>
      <c r="F27" s="13"/>
      <c r="G27" s="14"/>
      <c r="H27" s="16"/>
    </row>
    <row r="28" spans="1:8" s="23" customFormat="1" ht="15" customHeight="1" x14ac:dyDescent="0.25">
      <c r="A28" s="49" t="s">
        <v>24</v>
      </c>
      <c r="B28" s="39" t="s">
        <v>58</v>
      </c>
      <c r="C28" s="39" t="s">
        <v>42</v>
      </c>
      <c r="D28" s="24" t="s">
        <v>51</v>
      </c>
      <c r="E28" s="24">
        <v>1</v>
      </c>
      <c r="F28" s="40">
        <v>44.03</v>
      </c>
      <c r="G28" s="41">
        <f>E28*F28</f>
        <v>44.03</v>
      </c>
      <c r="H28" s="33" t="s">
        <v>11</v>
      </c>
    </row>
    <row r="29" spans="1:8" s="23" customFormat="1" ht="15" customHeight="1" x14ac:dyDescent="0.25">
      <c r="A29" s="20"/>
      <c r="B29" s="39"/>
      <c r="C29" s="39"/>
      <c r="D29" s="24"/>
      <c r="E29" s="24"/>
      <c r="F29" s="40"/>
      <c r="G29" s="41"/>
      <c r="H29" s="33"/>
    </row>
    <row r="30" spans="1:8" s="23" customFormat="1" ht="15" customHeight="1" x14ac:dyDescent="0.25">
      <c r="A30" s="20"/>
      <c r="D30" s="24"/>
      <c r="E30" s="24"/>
      <c r="G30" s="33"/>
      <c r="H30" s="33"/>
    </row>
    <row r="31" spans="1:8" s="23" customFormat="1" ht="15" customHeight="1" x14ac:dyDescent="0.25">
      <c r="A31" s="50"/>
      <c r="B31" s="51" t="s">
        <v>27</v>
      </c>
      <c r="C31" s="35"/>
      <c r="D31" s="35"/>
      <c r="E31" s="35"/>
      <c r="F31" s="35"/>
      <c r="G31" s="41">
        <f>G26-SUM(G28:G30)</f>
        <v>455.97</v>
      </c>
      <c r="H31" s="48" t="s">
        <v>11</v>
      </c>
    </row>
    <row r="32" spans="1:8" ht="15" customHeight="1" x14ac:dyDescent="0.25">
      <c r="A32" s="10"/>
      <c r="B32" s="9"/>
      <c r="D32" s="17"/>
      <c r="E32" s="7"/>
      <c r="F32" s="9"/>
      <c r="G32" s="8"/>
      <c r="H32" s="18"/>
    </row>
    <row r="33" spans="1:8" s="23" customFormat="1" ht="15" customHeight="1" x14ac:dyDescent="0.25">
      <c r="A33" s="52"/>
      <c r="B33" s="53" t="s">
        <v>4</v>
      </c>
      <c r="C33" s="53" t="s">
        <v>5</v>
      </c>
      <c r="D33" s="54" t="s">
        <v>6</v>
      </c>
      <c r="E33" s="55"/>
      <c r="F33" s="56" t="s">
        <v>28</v>
      </c>
      <c r="G33" s="57" t="s">
        <v>29</v>
      </c>
      <c r="H33" s="58"/>
    </row>
    <row r="34" spans="1:8" s="23" customFormat="1" ht="15" customHeight="1" x14ac:dyDescent="0.25">
      <c r="A34" s="32"/>
      <c r="B34" s="23" t="s">
        <v>25</v>
      </c>
      <c r="D34" s="24" t="s">
        <v>26</v>
      </c>
      <c r="E34" s="24"/>
      <c r="F34" s="23">
        <v>500</v>
      </c>
      <c r="G34" s="33">
        <f>SUM(G28:G30)</f>
        <v>44.03</v>
      </c>
      <c r="H34" s="33"/>
    </row>
    <row r="35" spans="1:8" s="23" customFormat="1" ht="15" customHeight="1" x14ac:dyDescent="0.25">
      <c r="A35" s="32"/>
      <c r="D35" s="24"/>
      <c r="E35" s="24"/>
      <c r="F35" s="59" t="s">
        <v>30</v>
      </c>
      <c r="G35" s="33">
        <f>F34/G34</f>
        <v>11.355893708834884</v>
      </c>
      <c r="H35" s="33" t="s">
        <v>31</v>
      </c>
    </row>
  </sheetData>
  <mergeCells count="7">
    <mergeCell ref="A28:A30"/>
    <mergeCell ref="B31:F31"/>
    <mergeCell ref="B24:F24"/>
    <mergeCell ref="B19:F19"/>
    <mergeCell ref="B20:F20"/>
    <mergeCell ref="B21:F21"/>
    <mergeCell ref="A1:H1"/>
  </mergeCells>
  <phoneticPr fontId="8" type="noConversion"/>
  <conditionalFormatting sqref="G24">
    <cfRule type="cellIs" dxfId="0" priority="1" operator="lessThan">
      <formula>0</formula>
    </cfRule>
  </conditionalFormatting>
  <pageMargins left="0.7" right="0.7" top="0.75" bottom="0.75" header="0.3" footer="0.3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</dc:creator>
  <cp:lastModifiedBy>Caleb Ross (Student)</cp:lastModifiedBy>
  <cp:lastPrinted>2026-10-29T23:28:41Z</cp:lastPrinted>
  <dcterms:created xsi:type="dcterms:W3CDTF">2026-10-29T16:40:01Z</dcterms:created>
  <dcterms:modified xsi:type="dcterms:W3CDTF">2026-10-29T23:31:19Z</dcterms:modified>
</cp:coreProperties>
</file>